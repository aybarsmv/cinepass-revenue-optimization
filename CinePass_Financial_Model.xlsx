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<sst xmlns="http://schemas.openxmlformats.org/spreadsheetml/2006/main" count="50" uniqueCount="50">
  <si>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CinePass — 12-Month Subscription Financial Model</t>
  </si>
  <si>
    <t xml:space="preserve">Author: Aybars Mavi · Economics, Yildiz Technical University (YTU)   |   Blue = input assumptions · Black = live formulas · All figures synthetic/illustrative</t>
  </si>
  <si>
    <t xml:space="preserve">Period / Metric</t>
  </si>
  <si>
    <t xml:space="preserve">Off-Peak
Empty Seat %</t>
  </si>
  <si>
    <t xml:space="preserve">Average
Ticket Price ($)</t>
  </si>
  <si>
    <t xml:space="preserve">Concession
Spend / Visit ($)</t>
  </si>
  <si>
    <t xml:space="preserve">Tier 1 Price
(Matinee $)</t>
  </si>
  <si>
    <t xml:space="preserve">Tier 2 Price
(Standard $)</t>
  </si>
  <si>
    <t xml:space="preserve">Tier 3 Price
(Unlimited $)</t>
  </si>
  <si>
    <t xml:space="preserve">Tier 1
Subscribers</t>
  </si>
  <si>
    <t xml:space="preserve">Tier 2
Subscribers</t>
  </si>
  <si>
    <t xml:space="preserve">Tier 3
Subscribers</t>
  </si>
  <si>
    <t xml:space="preserve">Total
Subscribers</t>
  </si>
  <si>
    <t xml:space="preserve">Projected
MRR ($)</t>
  </si>
  <si>
    <t xml:space="preserve">Avg Visits /
Subscriber</t>
  </si>
  <si>
    <t xml:space="preserve">Total Subscriber
Visits</t>
  </si>
  <si>
    <t xml:space="preserve">Subscriber
Concession Rev ($)</t>
  </si>
  <si>
    <t xml:space="preserve">Marginal Cost
/ Seat ($)</t>
  </si>
  <si>
    <t xml:space="preserve">Total Variable
Cost ($)</t>
  </si>
  <si>
    <t xml:space="preserve">Cannibalization
Rate %</t>
  </si>
  <si>
    <t xml:space="preserve">Cannibalized
Ticket Rev ($)</t>
  </si>
  <si>
    <t xml:space="preserve">Net Monthly
Contribution ($)</t>
  </si>
  <si>
    <t xml:space="preserve">Cannibalization
Break-even Visits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</si>
  <si>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</si>
  <si>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</si>
  <si>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</si>
  <si>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</si>
  <si>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</si>
  <si>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</si>
  <si>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</si>
  <si>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</si>
  <si>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</si>
  <si>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</si>
  <si>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</si>
  <si>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</si>
  <si>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 (Year 1)</t>
  </si>
  <si>
    <t xml:space="preserve">AVERAGE / Blended</t>
  </si>
  <si>
    <t xml:space="preserve">KEY OUTPUTS (auto-calculated)</t>
  </si>
  <si>
    <t xml:space="preserve">Month-12 MRR</t>
  </si>
  <si>
    <t xml:space="preserve">Annual Run-Rate (ARR)</t>
  </si>
  <si>
    <t xml:space="preserve">Year-1 Subscription Revenue</t>
  </si>
  <si>
    <t xml:space="preserve">Year-1 Concession Revenue</t>
  </si>
  <si>
    <t xml:space="preserve">Year-1 Net Contribution</t>
  </si>
  <si>
    <t xml:space="preserve">Program Contribution Margin %</t>
  </si>
  <si>
    <t xml:space="preserve">Cannibalized Ticket Rev (cost)</t>
  </si>
  <si>
    <t xml:space="preserve">Subscribers (Month 12)</t>
  </si>
  <si>
    <t xml:space="preserve">Blended ARPU (Month 12, $/mo)</t>
  </si>
  <si>
    <t xml:space="preserve">Break-even Coverage (visits x)</t>
  </si>
  <si>
    <t xml:space="preserve">CinePass — Performance Dashboard</t>
  </si>
  <si>
    <t xml:space="preserve">Synthetic 12-month projection · charts link live to the Model sheet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</si>
</sst>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\$#,##0.00;&quot;($&quot;#,##0.00\);\-"/>
    <numFmt numFmtId="167" formatCode="#,##0;\(#,##0\);\-"/>
    <numFmt numFmtId="168" formatCode="\$#,##0;&quot;($&quot;#,##0\);\-"/>
    <numFmt numFmtId="169" formatCode="0.0"/>
    <numFmt numFmtId="170" formatCode="\$#,##0"/>
    <numFmt numFmtId="171" formatCode="#,##0"/>
    <numFmt numFmtId="172" formatCode="\$#,##0.00"/>
    <numFmt numFmtId="173" formatCode="0.0\x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CADCF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CADCF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5FB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6FA5"/>
      <rgbColor rgb="FF33CCCC"/>
      <rgbColor rgb="FF99CC00"/>
      <rgbColor rgb="FFFFCC00"/>
      <rgbColor rgb="FFC9A227"/>
      <rgbColor rgb="FFFF6600"/>
      <rgbColor rgb="FF64748B"/>
      <rgbColor rgb="FF969696"/>
      <rgbColor rgb="FF1E2761"/>
      <rgbColor rgb="FF2C7A4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MRR Growth ($/month)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Model!L4</c:f>
              <c:strCache>
                <c:ptCount val="1"/>
                <c:pt idx="0">
                  <c:v>Projected
MRR ($)</c:v>
                </c:pt>
              </c:strCache>
            </c:strRef>
          </c:tx>
          <c:spPr>
            <a:solidFill>
              <a:srgbClr val="1e2761"/>
            </a:solidFill>
            <a:ln w="28080">
              <a:solidFill>
                <a:srgbClr val="1e27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Model!$L$5:$L$16</c:f>
              <c:numCache>
                <c:formatCode>\$#,##0;"($"#,##0\);\-</c:formatCode>
                <c:ptCount val="12"/>
                <c:pt idx="0">
                  <c:v>12893.4</c:v>
                </c:pt>
                <c:pt idx="1">
                  <c:v>19215.25</c:v>
                </c:pt>
                <c:pt idx="2">
                  <c:v>27236.3</c:v>
                </c:pt>
                <c:pt idx="3">
                  <c:v>37306.45</c:v>
                </c:pt>
                <c:pt idx="4">
                  <c:v>47976.4</c:v>
                </c:pt>
                <c:pt idx="5">
                  <c:v>59471</c:v>
                </c:pt>
                <c:pt idx="6">
                  <c:v>78455.5</c:v>
                </c:pt>
                <c:pt idx="7">
                  <c:v>91110.1</c:v>
                </c:pt>
                <c:pt idx="8">
                  <c:v>103384.8</c:v>
                </c:pt>
                <c:pt idx="9">
                  <c:v>114230.1</c:v>
                </c:pt>
                <c:pt idx="10">
                  <c:v>122926.3</c:v>
                </c:pt>
                <c:pt idx="11">
                  <c:v>130293.1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902656"/>
        <c:axId val="12920415"/>
      </c:lineChart>
      <c:catAx>
        <c:axId val="359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20415"/>
        <c:crosses val="autoZero"/>
        <c:auto val="1"/>
        <c:lblAlgn val="ctr"/>
        <c:lblOffset val="100"/>
        <c:noMultiLvlLbl val="0"/>
      </c:catAx>
      <c:valAx>
        <c:axId val="12920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02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Off-Peak Empty Seat % (Capacity Recovery)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Model!B4</c:f>
              <c:strCache>
                <c:ptCount val="1"/>
                <c:pt idx="0">
                  <c:v>Off-Peak
Empty Seat %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Model!$B$5:$B$16</c:f>
              <c:numCache>
                <c:formatCode>0.0%</c:formatCode>
                <c:ptCount val="12"/>
                <c:pt idx="0">
                  <c:v>0.68</c:v>
                </c:pt>
                <c:pt idx="1">
                  <c:v>0.66</c:v>
                </c:pt>
                <c:pt idx="2">
                  <c:v>0.64</c:v>
                </c:pt>
                <c:pt idx="3">
                  <c:v>0.62</c:v>
                </c:pt>
                <c:pt idx="4">
                  <c:v>0.6</c:v>
                </c:pt>
                <c:pt idx="5">
                  <c:v>0.58</c:v>
                </c:pt>
                <c:pt idx="6">
                  <c:v>0.56</c:v>
                </c:pt>
                <c:pt idx="7">
                  <c:v>0.54</c:v>
                </c:pt>
                <c:pt idx="8">
                  <c:v>0.52</c:v>
                </c:pt>
                <c:pt idx="9">
                  <c:v>0.5</c:v>
                </c:pt>
                <c:pt idx="10">
                  <c:v>0.48</c:v>
                </c:pt>
                <c:pt idx="11">
                  <c:v>0.47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4002"/>
        <c:axId val="52505819"/>
      </c:lineChart>
      <c:catAx>
        <c:axId val="9634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05819"/>
        <c:crosses val="autoZero"/>
        <c:auto val="1"/>
        <c:lblAlgn val="ctr"/>
        <c:lblOffset val="100"/>
        <c:noMultiLvlLbl val="0"/>
      </c:catAx>
      <c:valAx>
        <c:axId val="5250581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40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Subscriber Growth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Model!H4</c:f>
              <c:strCache>
                <c:ptCount val="1"/>
                <c:pt idx="0">
                  <c:v>Tier 1
Subscribers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Model!$H$5:$H$16</c:f>
              <c:numCache>
                <c:formatCode>#,##0;\(#,##0\);\-</c:formatCode>
                <c:ptCount val="12"/>
                <c:pt idx="0">
                  <c:v>420</c:v>
                </c:pt>
                <c:pt idx="1">
                  <c:v>610</c:v>
                </c:pt>
                <c:pt idx="2">
                  <c:v>840</c:v>
                </c:pt>
                <c:pt idx="3">
                  <c:v>1110</c:v>
                </c:pt>
                <c:pt idx="4">
                  <c:v>1380</c:v>
                </c:pt>
                <c:pt idx="5">
                  <c:v>1660</c:v>
                </c:pt>
                <c:pt idx="6">
                  <c:v>1950</c:v>
                </c:pt>
                <c:pt idx="7">
                  <c:v>2230</c:v>
                </c:pt>
                <c:pt idx="8">
                  <c:v>2510</c:v>
                </c:pt>
                <c:pt idx="9">
                  <c:v>2760</c:v>
                </c:pt>
                <c:pt idx="10">
                  <c:v>2960</c:v>
                </c:pt>
                <c:pt idx="11">
                  <c:v>3120</c:v>
                </c:pt>
              </c:numCache>
            </c:numRef>
          </c:val>
        </c:ser>
        <c:ser>
          <c:idx val="1"/>
          <c:order val="1"/>
          <c:tx>
            <c:strRef>
              <c:f>Model!I4</c:f>
              <c:strCache>
                <c:ptCount val="1"/>
                <c:pt idx="0">
                  <c:v>Tier 2
Subscribers</c:v>
                </c:pt>
              </c:strCache>
            </c:strRef>
          </c:tx>
          <c:spPr>
            <a:solidFill>
              <a:srgbClr val="4a6f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Model!$I$5:$I$16</c:f>
              <c:numCache>
                <c:formatCode>#,##0;\(#,##0\);\-</c:formatCode>
                <c:ptCount val="12"/>
                <c:pt idx="0">
                  <c:v>180</c:v>
                </c:pt>
                <c:pt idx="1">
                  <c:v>270</c:v>
                </c:pt>
                <c:pt idx="2">
                  <c:v>390</c:v>
                </c:pt>
                <c:pt idx="3">
                  <c:v>540</c:v>
                </c:pt>
                <c:pt idx="4">
                  <c:v>700</c:v>
                </c:pt>
                <c:pt idx="5">
                  <c:v>880</c:v>
                </c:pt>
                <c:pt idx="6">
                  <c:v>1060</c:v>
                </c:pt>
                <c:pt idx="7">
                  <c:v>1240</c:v>
                </c:pt>
                <c:pt idx="8">
                  <c:v>1420</c:v>
                </c:pt>
                <c:pt idx="9">
                  <c:v>1580</c:v>
                </c:pt>
                <c:pt idx="10">
                  <c:v>1720</c:v>
                </c:pt>
                <c:pt idx="11">
                  <c:v>1850</c:v>
                </c:pt>
              </c:numCache>
            </c:numRef>
          </c:val>
        </c:ser>
        <c:ser>
          <c:idx val="2"/>
          <c:order val="2"/>
          <c:tx>
            <c:strRef>
              <c:f>Model!J4</c:f>
              <c:strCache>
                <c:ptCount val="1"/>
                <c:pt idx="0">
                  <c:v>Tier 3
Subscribers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Model!$J$5:$J$16</c:f>
              <c:numCache>
                <c:formatCode>#,##0;\(#,##0\);\-</c:formatCode>
                <c:ptCount val="12"/>
                <c:pt idx="0">
                  <c:v>60</c:v>
                </c:pt>
                <c:pt idx="1">
                  <c:v>95</c:v>
                </c:pt>
                <c:pt idx="2">
                  <c:v>140</c:v>
                </c:pt>
                <c:pt idx="3">
                  <c:v>205</c:v>
                </c:pt>
                <c:pt idx="4">
                  <c:v>280</c:v>
                </c:pt>
                <c:pt idx="5">
                  <c:v>360</c:v>
                </c:pt>
                <c:pt idx="6">
                  <c:v>440</c:v>
                </c:pt>
                <c:pt idx="7">
                  <c:v>520</c:v>
                </c:pt>
                <c:pt idx="8">
                  <c:v>590</c:v>
                </c:pt>
                <c:pt idx="9">
                  <c:v>650</c:v>
                </c:pt>
                <c:pt idx="10">
                  <c:v>690</c:v>
                </c:pt>
                <c:pt idx="11">
                  <c:v>720</c:v>
                </c:pt>
              </c:numCache>
            </c:numRef>
          </c:val>
        </c:ser>
        <c:gapWidth val="150"/>
        <c:overlap val="100"/>
        <c:axId val="60295796"/>
        <c:axId val="466629"/>
      </c:barChart>
      <c:catAx>
        <c:axId val="602957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629"/>
        <c:crosses val="autoZero"/>
        <c:auto val="1"/>
        <c:lblAlgn val="ctr"/>
        <c:lblOffset val="100"/>
        <c:noMultiLvlLbl val="0"/>
      </c:catAx>
      <c:valAx>
        <c:axId val="466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95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Composition: Subscription vs Concession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Model!L4</c:f>
              <c:strCache>
                <c:ptCount val="1"/>
                <c:pt idx="0">
                  <c:v>Projected
MRR ($)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Model!$L$5:$L$16</c:f>
              <c:numCache>
                <c:formatCode>\$#,##0;"($"#,##0\);\-</c:formatCode>
                <c:ptCount val="12"/>
                <c:pt idx="0">
                  <c:v>12893.4</c:v>
                </c:pt>
                <c:pt idx="1">
                  <c:v>19215.25</c:v>
                </c:pt>
                <c:pt idx="2">
                  <c:v>27236.3</c:v>
                </c:pt>
                <c:pt idx="3">
                  <c:v>37306.45</c:v>
                </c:pt>
                <c:pt idx="4">
                  <c:v>47976.4</c:v>
                </c:pt>
                <c:pt idx="5">
                  <c:v>59471</c:v>
                </c:pt>
                <c:pt idx="6">
                  <c:v>78455.5</c:v>
                </c:pt>
                <c:pt idx="7">
                  <c:v>91110.1</c:v>
                </c:pt>
                <c:pt idx="8">
                  <c:v>103384.8</c:v>
                </c:pt>
                <c:pt idx="9">
                  <c:v>114230.1</c:v>
                </c:pt>
                <c:pt idx="10">
                  <c:v>122926.3</c:v>
                </c:pt>
                <c:pt idx="11">
                  <c:v>130293.1</c:v>
                </c:pt>
              </c:numCache>
            </c:numRef>
          </c:val>
        </c:ser>
        <c:ser>
          <c:idx val="1"/>
          <c:order val="1"/>
          <c:tx>
            <c:strRef>
              <c:f>Model!O4</c:f>
              <c:strCache>
                <c:ptCount val="1"/>
                <c:pt idx="0">
                  <c:v>Subscriber
Concession Rev ($)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Model!$O$5:$O$16</c:f>
              <c:numCache>
                <c:formatCode>\$#,##0;"($"#,##0\);\-</c:formatCode>
                <c:ptCount val="12"/>
                <c:pt idx="0">
                  <c:v>12751.2</c:v>
                </c:pt>
                <c:pt idx="1">
                  <c:v>20007</c:v>
                </c:pt>
                <c:pt idx="2">
                  <c:v>28605.6</c:v>
                </c:pt>
                <c:pt idx="3">
                  <c:v>41041.875</c:v>
                </c:pt>
                <c:pt idx="4">
                  <c:v>55224</c:v>
                </c:pt>
                <c:pt idx="5">
                  <c:v>71253</c:v>
                </c:pt>
                <c:pt idx="6">
                  <c:v>85698</c:v>
                </c:pt>
                <c:pt idx="7">
                  <c:v>103899.6</c:v>
                </c:pt>
                <c:pt idx="8">
                  <c:v>123870.6</c:v>
                </c:pt>
                <c:pt idx="9">
                  <c:v>138198.05</c:v>
                </c:pt>
                <c:pt idx="10">
                  <c:v>156267</c:v>
                </c:pt>
                <c:pt idx="11">
                  <c:v>172862.2</c:v>
                </c:pt>
              </c:numCache>
            </c:numRef>
          </c:val>
        </c:ser>
        <c:gapWidth val="150"/>
        <c:overlap val="0"/>
        <c:axId val="86805457"/>
        <c:axId val="15711918"/>
      </c:barChart>
      <c:catAx>
        <c:axId val="86805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11918"/>
        <c:crosses val="autoZero"/>
        <c:auto val="1"/>
        <c:lblAlgn val="ctr"/>
        <c:lblOffset val="100"/>
        <c:noMultiLvlLbl val="0"/>
      </c:catAx>
      <c:valAx>
        <c:axId val="157119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05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Cannibalization: Actual Visits vs Break-even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Model!N4</c:f>
              <c:strCache>
                <c:ptCount val="1"/>
                <c:pt idx="0">
                  <c:v>Total Subscriber
Visits</c:v>
                </c:pt>
              </c:strCache>
            </c:strRef>
          </c:tx>
          <c:spPr>
            <a:solidFill>
              <a:srgbClr val="1e2761"/>
            </a:solidFill>
            <a:ln w="28080">
              <a:solidFill>
                <a:srgbClr val="1e27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Model!$N$5:$N$16</c:f>
              <c:numCache>
                <c:formatCode>\$#,##0;"($"#,##0\);\-</c:formatCode>
                <c:ptCount val="12"/>
                <c:pt idx="0">
                  <c:v>1518</c:v>
                </c:pt>
                <c:pt idx="1">
                  <c:v>2340</c:v>
                </c:pt>
                <c:pt idx="2">
                  <c:v>3288</c:v>
                </c:pt>
                <c:pt idx="3">
                  <c:v>4637.5</c:v>
                </c:pt>
                <c:pt idx="4">
                  <c:v>6136</c:v>
                </c:pt>
                <c:pt idx="5">
                  <c:v>7830</c:v>
                </c:pt>
                <c:pt idx="6">
                  <c:v>9315</c:v>
                </c:pt>
                <c:pt idx="7">
                  <c:v>11172</c:v>
                </c:pt>
                <c:pt idx="8">
                  <c:v>13108</c:v>
                </c:pt>
                <c:pt idx="9">
                  <c:v>14471</c:v>
                </c:pt>
                <c:pt idx="10">
                  <c:v>16110</c:v>
                </c:pt>
                <c:pt idx="11">
                  <c:v>17639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Model!U4</c:f>
              <c:strCache>
                <c:ptCount val="1"/>
                <c:pt idx="0">
                  <c:v>Cannibalization
Break-even Visits</c:v>
                </c:pt>
              </c:strCache>
            </c:strRef>
          </c:tx>
          <c:spPr>
            <a:solidFill>
              <a:srgbClr val="cc0000"/>
            </a:solidFill>
            <a:ln w="20160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Model!$U$5:$U$16</c:f>
              <c:numCache>
                <c:formatCode>\$#,##0;"($"#,##0\);\-</c:formatCode>
                <c:ptCount val="12"/>
                <c:pt idx="0">
                  <c:v>1069.73154362416</c:v>
                </c:pt>
                <c:pt idx="1">
                  <c:v>1586.35968379447</c:v>
                </c:pt>
                <c:pt idx="2">
                  <c:v>2090.19818887452</c:v>
                </c:pt>
                <c:pt idx="3">
                  <c:v>2832.5873570521</c:v>
                </c:pt>
                <c:pt idx="4">
                  <c:v>3502.34606741573</c:v>
                </c:pt>
                <c:pt idx="5">
                  <c:v>4313.75</c:v>
                </c:pt>
                <c:pt idx="6">
                  <c:v>4949.8021978022</c:v>
                </c:pt>
                <c:pt idx="7">
                  <c:v>5721.60217391304</c:v>
                </c:pt>
                <c:pt idx="8">
                  <c:v>6232.92413793103</c:v>
                </c:pt>
                <c:pt idx="9">
                  <c:v>6614.09823529412</c:v>
                </c:pt>
                <c:pt idx="10">
                  <c:v>7064.69235225956</c:v>
                </c:pt>
                <c:pt idx="11">
                  <c:v>7465.1491954023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488032"/>
        <c:axId val="67580610"/>
      </c:lineChart>
      <c:catAx>
        <c:axId val="504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80610"/>
        <c:crosses val="autoZero"/>
        <c:auto val="1"/>
        <c:lblAlgn val="ctr"/>
        <c:lblOffset val="100"/>
        <c:noMultiLvlLbl val="0"/>
      </c:catAx>
      <c:valAx>
        <c:axId val="67580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880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Monthly Program Contribution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Model!T4</c:f>
              <c:strCache>
                <c:ptCount val="1"/>
                <c:pt idx="0">
                  <c:v>Net Monthly
Contribution ($)</c:v>
                </c:pt>
              </c:strCache>
            </c:strRef>
          </c:tx>
          <c:spPr>
            <a:solidFill>
              <a:srgbClr val="2c7a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Model!$A$5:$A$16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Model!$T$5:$T$16</c:f>
              <c:numCache>
                <c:formatCode>\$#,##0;"($"#,##0\);\-</c:formatCode>
                <c:ptCount val="12"/>
                <c:pt idx="0">
                  <c:v>16233</c:v>
                </c:pt>
                <c:pt idx="1">
                  <c:v>24935.38</c:v>
                </c:pt>
                <c:pt idx="2">
                  <c:v>36495.308</c:v>
                </c:pt>
                <c:pt idx="3">
                  <c:v>51511.1125</c:v>
                </c:pt>
                <c:pt idx="4">
                  <c:v>69071.968</c:v>
                </c:pt>
                <c:pt idx="5">
                  <c:v>87952.625</c:v>
                </c:pt>
                <c:pt idx="6">
                  <c:v>114206.47</c:v>
                </c:pt>
                <c:pt idx="7">
                  <c:v>136239.394</c:v>
                </c:pt>
                <c:pt idx="8">
                  <c:v>161204.188</c:v>
                </c:pt>
                <c:pt idx="9">
                  <c:v>181013.765</c:v>
                </c:pt>
                <c:pt idx="10">
                  <c:v>200987.305</c:v>
                </c:pt>
                <c:pt idx="11">
                  <c:v>218805.602</c:v>
                </c:pt>
              </c:numCache>
            </c:numRef>
          </c:val>
        </c:ser>
        <c:gapWidth val="150"/>
        <c:overlap val="0"/>
        <c:axId val="33784293"/>
        <c:axId val="19541401"/>
      </c:barChart>
      <c:catAx>
        <c:axId val="337842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41401"/>
        <c:crosses val="autoZero"/>
        <c:auto val="1"/>
        <c:lblAlgn val="ctr"/>
        <c:lblOffset val="100"/>
        <c:noMultiLvlLbl val="0"/>
      </c:catAx>
      <c:valAx>
        <c:axId val="19541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84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7</xdr:col>
      <xdr:colOff>399240</xdr:colOff>
      <xdr:row>17</xdr:row>
      <xdr:rowOff>32760</xdr:rowOff>
    </xdr:to>
    <xdr:graphicFrame>
      <xdr:nvGraphicFramePr>
        <xdr:cNvPr id="0" name="Chart 1"/>
        <xdr:cNvGraphicFramePr/>
      </xdr:nvGraphicFramePr>
      <xdr:xfrm>
        <a:off x="0" y="762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0</xdr:rowOff>
    </xdr:from>
    <xdr:to>
      <xdr:col>14</xdr:col>
      <xdr:colOff>398880</xdr:colOff>
      <xdr:row>17</xdr:row>
      <xdr:rowOff>32760</xdr:rowOff>
    </xdr:to>
    <xdr:graphicFrame>
      <xdr:nvGraphicFramePr>
        <xdr:cNvPr id="1" name="Chart 2"/>
        <xdr:cNvGraphicFramePr/>
      </xdr:nvGraphicFramePr>
      <xdr:xfrm>
        <a:off x="4280400" y="762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399240</xdr:colOff>
      <xdr:row>33</xdr:row>
      <xdr:rowOff>32400</xdr:rowOff>
    </xdr:to>
    <xdr:graphicFrame>
      <xdr:nvGraphicFramePr>
        <xdr:cNvPr id="2" name="Chart 3"/>
        <xdr:cNvGraphicFramePr/>
      </xdr:nvGraphicFramePr>
      <xdr:xfrm>
        <a:off x="0" y="3809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14</xdr:col>
      <xdr:colOff>398880</xdr:colOff>
      <xdr:row>33</xdr:row>
      <xdr:rowOff>32400</xdr:rowOff>
    </xdr:to>
    <xdr:graphicFrame>
      <xdr:nvGraphicFramePr>
        <xdr:cNvPr id="3" name="Chart 4"/>
        <xdr:cNvGraphicFramePr/>
      </xdr:nvGraphicFramePr>
      <xdr:xfrm>
        <a:off x="4280400" y="3809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399240</xdr:colOff>
      <xdr:row>49</xdr:row>
      <xdr:rowOff>32760</xdr:rowOff>
    </xdr:to>
    <xdr:graphicFrame>
      <xdr:nvGraphicFramePr>
        <xdr:cNvPr id="4" name="Chart 5"/>
        <xdr:cNvGraphicFramePr/>
      </xdr:nvGraphicFramePr>
      <xdr:xfrm>
        <a:off x="0" y="68580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14</xdr:col>
      <xdr:colOff>398880</xdr:colOff>
      <xdr:row>49</xdr:row>
      <xdr:rowOff>32760</xdr:rowOff>
    </xdr:to>
    <xdr:graphicFrame>
      <xdr:nvGraphicFramePr>
        <xdr:cNvPr id="5" name="Chart 6"/>
        <xdr:cNvGraphicFramePr/>
      </xdr:nvGraphicFramePr>
      <xdr:xfrm>
        <a:off x="4280400" y="68580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9" min="17" style="0" width="12"/>
    <col collapsed="false" customWidth="true" hidden="false" outlineLevel="0" max="21" min="20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5" t="n">
        <v>0.68</v>
      </c>
      <c r="C5" s="6" t="n">
        <v>12.5</v>
      </c>
      <c r="D5" s="6" t="n">
        <v>8.4</v>
      </c>
      <c r="E5" s="6" t="n">
        <v>14.99</v>
      </c>
      <c r="F5" s="6" t="n">
        <v>24.99</v>
      </c>
      <c r="G5" s="6" t="n">
        <v>34.99</v>
      </c>
      <c r="H5" s="7" t="n">
        <v>420</v>
      </c>
      <c r="I5" s="7" t="n">
        <v>180</v>
      </c>
      <c r="J5" s="7" t="n">
        <v>60</v>
      </c>
      <c r="K5" s="8" t="n">
        <f aca="false">H5+I5+J5</f>
        <v>660</v>
      </c>
      <c r="L5" s="9" t="n">
        <f aca="false">E5*H5+F5*I5+G5*J5</f>
        <v>12893.4</v>
      </c>
      <c r="M5" s="10" t="n">
        <v>2.3</v>
      </c>
      <c r="N5" s="9" t="n">
        <f aca="false">K5*M5</f>
        <v>1518</v>
      </c>
      <c r="O5" s="9" t="n">
        <f aca="false">N5*D5</f>
        <v>12751.2</v>
      </c>
      <c r="P5" s="6" t="n">
        <v>0.95</v>
      </c>
      <c r="Q5" s="9" t="n">
        <f aca="false">N5*P5</f>
        <v>1442.1</v>
      </c>
      <c r="R5" s="5" t="n">
        <v>0.42</v>
      </c>
      <c r="S5" s="9" t="n">
        <f aca="false">N5*R5*C5</f>
        <v>7969.5</v>
      </c>
      <c r="T5" s="9" t="n">
        <f aca="false">L5+O5-Q5-S5</f>
        <v>16233</v>
      </c>
      <c r="U5" s="9" t="n">
        <f aca="false">S5/(D5-P5)</f>
        <v>1069.73154362416</v>
      </c>
    </row>
    <row r="6" customFormat="false" ht="15" hidden="false" customHeight="false" outlineLevel="0" collapsed="false">
      <c r="A6" s="11" t="s">
        <v>24</v>
      </c>
      <c r="B6" s="12" t="n">
        <v>0.66</v>
      </c>
      <c r="C6" s="13" t="n">
        <v>12.55</v>
      </c>
      <c r="D6" s="13" t="n">
        <v>8.55</v>
      </c>
      <c r="E6" s="13" t="n">
        <v>14.99</v>
      </c>
      <c r="F6" s="13" t="n">
        <v>24.99</v>
      </c>
      <c r="G6" s="13" t="n">
        <v>34.99</v>
      </c>
      <c r="H6" s="14" t="n">
        <v>610</v>
      </c>
      <c r="I6" s="14" t="n">
        <v>270</v>
      </c>
      <c r="J6" s="14" t="n">
        <v>95</v>
      </c>
      <c r="K6" s="15" t="n">
        <f aca="false">H6+I6+J6</f>
        <v>975</v>
      </c>
      <c r="L6" s="16" t="n">
        <f aca="false">E6*H6+F6*I6+G6*J6</f>
        <v>19215.25</v>
      </c>
      <c r="M6" s="17" t="n">
        <v>2.4</v>
      </c>
      <c r="N6" s="16" t="n">
        <f aca="false">K6*M6</f>
        <v>2340</v>
      </c>
      <c r="O6" s="16" t="n">
        <f aca="false">N6*D6</f>
        <v>20007</v>
      </c>
      <c r="P6" s="13" t="n">
        <v>0.96</v>
      </c>
      <c r="Q6" s="16" t="n">
        <f aca="false">N6*P6</f>
        <v>2246.4</v>
      </c>
      <c r="R6" s="12" t="n">
        <v>0.41</v>
      </c>
      <c r="S6" s="16" t="n">
        <f aca="false">N6*R6*C6</f>
        <v>12040.47</v>
      </c>
      <c r="T6" s="16" t="n">
        <f aca="false">L6+O6-Q6-S6</f>
        <v>24935.38</v>
      </c>
      <c r="U6" s="16" t="n">
        <f aca="false">S6/(D6-P6)</f>
        <v>1586.35968379447</v>
      </c>
    </row>
    <row r="7" customFormat="false" ht="15" hidden="false" customHeight="false" outlineLevel="0" collapsed="false">
      <c r="A7" s="4" t="s">
        <v>25</v>
      </c>
      <c r="B7" s="5" t="n">
        <v>0.64</v>
      </c>
      <c r="C7" s="6" t="n">
        <v>12.6</v>
      </c>
      <c r="D7" s="6" t="n">
        <v>8.7</v>
      </c>
      <c r="E7" s="6" t="n">
        <v>14.99</v>
      </c>
      <c r="F7" s="6" t="n">
        <v>24.99</v>
      </c>
      <c r="G7" s="6" t="n">
        <v>34.99</v>
      </c>
      <c r="H7" s="7" t="n">
        <v>840</v>
      </c>
      <c r="I7" s="7" t="n">
        <v>390</v>
      </c>
      <c r="J7" s="7" t="n">
        <v>140</v>
      </c>
      <c r="K7" s="8" t="n">
        <f aca="false">H7+I7+J7</f>
        <v>1370</v>
      </c>
      <c r="L7" s="9" t="n">
        <f aca="false">E7*H7+F7*I7+G7*J7</f>
        <v>27236.3</v>
      </c>
      <c r="M7" s="10" t="n">
        <v>2.4</v>
      </c>
      <c r="N7" s="9" t="n">
        <f aca="false">K7*M7</f>
        <v>3288</v>
      </c>
      <c r="O7" s="9" t="n">
        <f aca="false">N7*D7</f>
        <v>28605.6</v>
      </c>
      <c r="P7" s="6" t="n">
        <v>0.97</v>
      </c>
      <c r="Q7" s="9" t="n">
        <f aca="false">N7*P7</f>
        <v>3189.36</v>
      </c>
      <c r="R7" s="5" t="n">
        <v>0.39</v>
      </c>
      <c r="S7" s="9" t="n">
        <f aca="false">N7*R7*C7</f>
        <v>16157.232</v>
      </c>
      <c r="T7" s="9" t="n">
        <f aca="false">L7+O7-Q7-S7</f>
        <v>36495.308</v>
      </c>
      <c r="U7" s="9" t="n">
        <f aca="false">S7/(D7-P7)</f>
        <v>2090.19818887452</v>
      </c>
    </row>
    <row r="8" customFormat="false" ht="15" hidden="false" customHeight="false" outlineLevel="0" collapsed="false">
      <c r="A8" s="11" t="s">
        <v>26</v>
      </c>
      <c r="B8" s="12" t="n">
        <v>0.62</v>
      </c>
      <c r="C8" s="13" t="n">
        <v>12.65</v>
      </c>
      <c r="D8" s="13" t="n">
        <v>8.85</v>
      </c>
      <c r="E8" s="13" t="n">
        <v>14.99</v>
      </c>
      <c r="F8" s="13" t="n">
        <v>24.99</v>
      </c>
      <c r="G8" s="13" t="n">
        <v>34.99</v>
      </c>
      <c r="H8" s="14" t="n">
        <v>1110</v>
      </c>
      <c r="I8" s="14" t="n">
        <v>540</v>
      </c>
      <c r="J8" s="14" t="n">
        <v>205</v>
      </c>
      <c r="K8" s="15" t="n">
        <f aca="false">H8+I8+J8</f>
        <v>1855</v>
      </c>
      <c r="L8" s="16" t="n">
        <f aca="false">E8*H8+F8*I8+G8*J8</f>
        <v>37306.45</v>
      </c>
      <c r="M8" s="17" t="n">
        <v>2.5</v>
      </c>
      <c r="N8" s="16" t="n">
        <f aca="false">K8*M8</f>
        <v>4637.5</v>
      </c>
      <c r="O8" s="16" t="n">
        <f aca="false">N8*D8</f>
        <v>41041.875</v>
      </c>
      <c r="P8" s="13" t="n">
        <v>0.98</v>
      </c>
      <c r="Q8" s="16" t="n">
        <f aca="false">N8*P8</f>
        <v>4544.75</v>
      </c>
      <c r="R8" s="12" t="n">
        <v>0.38</v>
      </c>
      <c r="S8" s="16" t="n">
        <f aca="false">N8*R8*C8</f>
        <v>22292.4625</v>
      </c>
      <c r="T8" s="16" t="n">
        <f aca="false">L8+O8-Q8-S8</f>
        <v>51511.1125</v>
      </c>
      <c r="U8" s="16" t="n">
        <f aca="false">S8/(D8-P8)</f>
        <v>2832.5873570521</v>
      </c>
    </row>
    <row r="9" customFormat="false" ht="15" hidden="false" customHeight="false" outlineLevel="0" collapsed="false">
      <c r="A9" s="4" t="s">
        <v>27</v>
      </c>
      <c r="B9" s="5" t="n">
        <v>0.6</v>
      </c>
      <c r="C9" s="6" t="n">
        <v>12.7</v>
      </c>
      <c r="D9" s="6" t="n">
        <v>9</v>
      </c>
      <c r="E9" s="6" t="n">
        <v>14.99</v>
      </c>
      <c r="F9" s="6" t="n">
        <v>24.99</v>
      </c>
      <c r="G9" s="6" t="n">
        <v>34.99</v>
      </c>
      <c r="H9" s="7" t="n">
        <v>1380</v>
      </c>
      <c r="I9" s="7" t="n">
        <v>700</v>
      </c>
      <c r="J9" s="7" t="n">
        <v>280</v>
      </c>
      <c r="K9" s="8" t="n">
        <f aca="false">H9+I9+J9</f>
        <v>2360</v>
      </c>
      <c r="L9" s="9" t="n">
        <f aca="false">E9*H9+F9*I9+G9*J9</f>
        <v>47976.4</v>
      </c>
      <c r="M9" s="10" t="n">
        <v>2.6</v>
      </c>
      <c r="N9" s="9" t="n">
        <f aca="false">K9*M9</f>
        <v>6136</v>
      </c>
      <c r="O9" s="9" t="n">
        <f aca="false">N9*D9</f>
        <v>55224</v>
      </c>
      <c r="P9" s="6" t="n">
        <v>0.99</v>
      </c>
      <c r="Q9" s="9" t="n">
        <f aca="false">N9*P9</f>
        <v>6074.64</v>
      </c>
      <c r="R9" s="5" t="n">
        <v>0.36</v>
      </c>
      <c r="S9" s="9" t="n">
        <f aca="false">N9*R9*C9</f>
        <v>28053.792</v>
      </c>
      <c r="T9" s="9" t="n">
        <f aca="false">L9+O9-Q9-S9</f>
        <v>69071.968</v>
      </c>
      <c r="U9" s="9" t="n">
        <f aca="false">S9/(D9-P9)</f>
        <v>3502.34606741573</v>
      </c>
    </row>
    <row r="10" customFormat="false" ht="15" hidden="false" customHeight="false" outlineLevel="0" collapsed="false">
      <c r="A10" s="11" t="s">
        <v>28</v>
      </c>
      <c r="B10" s="12" t="n">
        <v>0.58</v>
      </c>
      <c r="C10" s="13" t="n">
        <v>12.75</v>
      </c>
      <c r="D10" s="13" t="n">
        <v>9.1</v>
      </c>
      <c r="E10" s="13" t="n">
        <v>14.99</v>
      </c>
      <c r="F10" s="13" t="n">
        <v>24.99</v>
      </c>
      <c r="G10" s="13" t="n">
        <v>34.99</v>
      </c>
      <c r="H10" s="14" t="n">
        <v>1660</v>
      </c>
      <c r="I10" s="14" t="n">
        <v>880</v>
      </c>
      <c r="J10" s="14" t="n">
        <v>360</v>
      </c>
      <c r="K10" s="15" t="n">
        <f aca="false">H10+I10+J10</f>
        <v>2900</v>
      </c>
      <c r="L10" s="16" t="n">
        <f aca="false">E10*H10+F10*I10+G10*J10</f>
        <v>59471</v>
      </c>
      <c r="M10" s="17" t="n">
        <v>2.7</v>
      </c>
      <c r="N10" s="16" t="n">
        <f aca="false">K10*M10</f>
        <v>7830</v>
      </c>
      <c r="O10" s="16" t="n">
        <f aca="false">N10*D10</f>
        <v>71253</v>
      </c>
      <c r="P10" s="13" t="n">
        <v>1</v>
      </c>
      <c r="Q10" s="16" t="n">
        <f aca="false">N10*P10</f>
        <v>7830</v>
      </c>
      <c r="R10" s="12" t="n">
        <v>0.35</v>
      </c>
      <c r="S10" s="16" t="n">
        <f aca="false">N10*R10*C10</f>
        <v>34941.375</v>
      </c>
      <c r="T10" s="16" t="n">
        <f aca="false">L10+O10-Q10-S10</f>
        <v>87952.625</v>
      </c>
      <c r="U10" s="16" t="n">
        <f aca="false">S10/(D10-P10)</f>
        <v>4313.75</v>
      </c>
    </row>
    <row r="11" customFormat="false" ht="15" hidden="false" customHeight="false" outlineLevel="0" collapsed="false">
      <c r="A11" s="4" t="s">
        <v>29</v>
      </c>
      <c r="B11" s="5" t="n">
        <v>0.56</v>
      </c>
      <c r="C11" s="6" t="n">
        <v>12.8</v>
      </c>
      <c r="D11" s="6" t="n">
        <v>9.2</v>
      </c>
      <c r="E11" s="6" t="n">
        <v>16.99</v>
      </c>
      <c r="F11" s="6" t="n">
        <v>26.99</v>
      </c>
      <c r="G11" s="6" t="n">
        <v>37.99</v>
      </c>
      <c r="H11" s="7" t="n">
        <v>1950</v>
      </c>
      <c r="I11" s="7" t="n">
        <v>1060</v>
      </c>
      <c r="J11" s="7" t="n">
        <v>440</v>
      </c>
      <c r="K11" s="8" t="n">
        <f aca="false">H11+I11+J11</f>
        <v>3450</v>
      </c>
      <c r="L11" s="9" t="n">
        <f aca="false">E11*H11+F11*I11+G11*J11</f>
        <v>78455.5</v>
      </c>
      <c r="M11" s="10" t="n">
        <v>2.7</v>
      </c>
      <c r="N11" s="9" t="n">
        <f aca="false">K11*M11</f>
        <v>9315</v>
      </c>
      <c r="O11" s="9" t="n">
        <f aca="false">N11*D11</f>
        <v>85698</v>
      </c>
      <c r="P11" s="6" t="n">
        <v>1.01</v>
      </c>
      <c r="Q11" s="9" t="n">
        <f aca="false">N11*P11</f>
        <v>9408.15</v>
      </c>
      <c r="R11" s="5" t="n">
        <v>0.34</v>
      </c>
      <c r="S11" s="9" t="n">
        <f aca="false">N11*R11*C11</f>
        <v>40538.88</v>
      </c>
      <c r="T11" s="9" t="n">
        <f aca="false">L11+O11-Q11-S11</f>
        <v>114206.47</v>
      </c>
      <c r="U11" s="9" t="n">
        <f aca="false">S11/(D11-P11)</f>
        <v>4949.8021978022</v>
      </c>
    </row>
    <row r="12" customFormat="false" ht="15" hidden="false" customHeight="false" outlineLevel="0" collapsed="false">
      <c r="A12" s="11" t="s">
        <v>30</v>
      </c>
      <c r="B12" s="12" t="n">
        <v>0.54</v>
      </c>
      <c r="C12" s="13" t="n">
        <v>12.85</v>
      </c>
      <c r="D12" s="13" t="n">
        <v>9.3</v>
      </c>
      <c r="E12" s="13" t="n">
        <v>16.99</v>
      </c>
      <c r="F12" s="13" t="n">
        <v>26.99</v>
      </c>
      <c r="G12" s="13" t="n">
        <v>37.99</v>
      </c>
      <c r="H12" s="14" t="n">
        <v>2230</v>
      </c>
      <c r="I12" s="14" t="n">
        <v>1240</v>
      </c>
      <c r="J12" s="14" t="n">
        <v>520</v>
      </c>
      <c r="K12" s="15" t="n">
        <f aca="false">H12+I12+J12</f>
        <v>3990</v>
      </c>
      <c r="L12" s="16" t="n">
        <f aca="false">E12*H12+F12*I12+G12*J12</f>
        <v>91110.1</v>
      </c>
      <c r="M12" s="17" t="n">
        <v>2.8</v>
      </c>
      <c r="N12" s="16" t="n">
        <f aca="false">K12*M12</f>
        <v>11172</v>
      </c>
      <c r="O12" s="16" t="n">
        <f aca="false">N12*D12</f>
        <v>103899.6</v>
      </c>
      <c r="P12" s="13" t="n">
        <v>1.02</v>
      </c>
      <c r="Q12" s="16" t="n">
        <f aca="false">N12*P12</f>
        <v>11395.44</v>
      </c>
      <c r="R12" s="12" t="n">
        <v>0.33</v>
      </c>
      <c r="S12" s="16" t="n">
        <f aca="false">N12*R12*C12</f>
        <v>47374.866</v>
      </c>
      <c r="T12" s="16" t="n">
        <f aca="false">L12+O12-Q12-S12</f>
        <v>136239.394</v>
      </c>
      <c r="U12" s="16" t="n">
        <f aca="false">S12/(D12-P12)</f>
        <v>5721.60217391304</v>
      </c>
    </row>
    <row r="13" customFormat="false" ht="15" hidden="false" customHeight="false" outlineLevel="0" collapsed="false">
      <c r="A13" s="4" t="s">
        <v>31</v>
      </c>
      <c r="B13" s="5" t="n">
        <v>0.52</v>
      </c>
      <c r="C13" s="6" t="n">
        <v>12.9</v>
      </c>
      <c r="D13" s="6" t="n">
        <v>9.45</v>
      </c>
      <c r="E13" s="6" t="n">
        <v>16.99</v>
      </c>
      <c r="F13" s="6" t="n">
        <v>26.99</v>
      </c>
      <c r="G13" s="6" t="n">
        <v>37.99</v>
      </c>
      <c r="H13" s="7" t="n">
        <v>2510</v>
      </c>
      <c r="I13" s="7" t="n">
        <v>1420</v>
      </c>
      <c r="J13" s="7" t="n">
        <v>590</v>
      </c>
      <c r="K13" s="8" t="n">
        <f aca="false">H13+I13+J13</f>
        <v>4520</v>
      </c>
      <c r="L13" s="9" t="n">
        <f aca="false">E13*H13+F13*I13+G13*J13</f>
        <v>103384.8</v>
      </c>
      <c r="M13" s="10" t="n">
        <v>2.9</v>
      </c>
      <c r="N13" s="9" t="n">
        <f aca="false">K13*M13</f>
        <v>13108</v>
      </c>
      <c r="O13" s="9" t="n">
        <f aca="false">N13*D13</f>
        <v>123870.6</v>
      </c>
      <c r="P13" s="6" t="n">
        <v>1.04</v>
      </c>
      <c r="Q13" s="9" t="n">
        <f aca="false">N13*P13</f>
        <v>13632.32</v>
      </c>
      <c r="R13" s="5" t="n">
        <v>0.31</v>
      </c>
      <c r="S13" s="9" t="n">
        <f aca="false">N13*R13*C13</f>
        <v>52418.892</v>
      </c>
      <c r="T13" s="9" t="n">
        <f aca="false">L13+O13-Q13-S13</f>
        <v>161204.188</v>
      </c>
      <c r="U13" s="9" t="n">
        <f aca="false">S13/(D13-P13)</f>
        <v>6232.92413793103</v>
      </c>
    </row>
    <row r="14" customFormat="false" ht="15" hidden="false" customHeight="false" outlineLevel="0" collapsed="false">
      <c r="A14" s="11" t="s">
        <v>32</v>
      </c>
      <c r="B14" s="12" t="n">
        <v>0.5</v>
      </c>
      <c r="C14" s="13" t="n">
        <v>12.95</v>
      </c>
      <c r="D14" s="13" t="n">
        <v>9.55</v>
      </c>
      <c r="E14" s="13" t="n">
        <v>16.99</v>
      </c>
      <c r="F14" s="13" t="n">
        <v>26.99</v>
      </c>
      <c r="G14" s="13" t="n">
        <v>37.99</v>
      </c>
      <c r="H14" s="14" t="n">
        <v>2760</v>
      </c>
      <c r="I14" s="14" t="n">
        <v>1580</v>
      </c>
      <c r="J14" s="14" t="n">
        <v>650</v>
      </c>
      <c r="K14" s="15" t="n">
        <f aca="false">H14+I14+J14</f>
        <v>4990</v>
      </c>
      <c r="L14" s="16" t="n">
        <f aca="false">E14*H14+F14*I14+G14*J14</f>
        <v>114230.1</v>
      </c>
      <c r="M14" s="17" t="n">
        <v>2.9</v>
      </c>
      <c r="N14" s="16" t="n">
        <f aca="false">K14*M14</f>
        <v>14471</v>
      </c>
      <c r="O14" s="16" t="n">
        <f aca="false">N14*D14</f>
        <v>138198.05</v>
      </c>
      <c r="P14" s="13" t="n">
        <v>1.05</v>
      </c>
      <c r="Q14" s="16" t="n">
        <f aca="false">N14*P14</f>
        <v>15194.55</v>
      </c>
      <c r="R14" s="12" t="n">
        <v>0.3</v>
      </c>
      <c r="S14" s="16" t="n">
        <f aca="false">N14*R14*C14</f>
        <v>56219.835</v>
      </c>
      <c r="T14" s="16" t="n">
        <f aca="false">L14+O14-Q14-S14</f>
        <v>181013.765</v>
      </c>
      <c r="U14" s="16" t="n">
        <f aca="false">S14/(D14-P14)</f>
        <v>6614.09823529412</v>
      </c>
    </row>
    <row r="15" customFormat="false" ht="15" hidden="false" customHeight="false" outlineLevel="0" collapsed="false">
      <c r="A15" s="4" t="s">
        <v>33</v>
      </c>
      <c r="B15" s="5" t="n">
        <v>0.48</v>
      </c>
      <c r="C15" s="6" t="n">
        <v>13.05</v>
      </c>
      <c r="D15" s="6" t="n">
        <v>9.7</v>
      </c>
      <c r="E15" s="6" t="n">
        <v>16.99</v>
      </c>
      <c r="F15" s="6" t="n">
        <v>26.99</v>
      </c>
      <c r="G15" s="6" t="n">
        <v>37.99</v>
      </c>
      <c r="H15" s="7" t="n">
        <v>2960</v>
      </c>
      <c r="I15" s="7" t="n">
        <v>1720</v>
      </c>
      <c r="J15" s="7" t="n">
        <v>690</v>
      </c>
      <c r="K15" s="8" t="n">
        <f aca="false">H15+I15+J15</f>
        <v>5370</v>
      </c>
      <c r="L15" s="9" t="n">
        <f aca="false">E15*H15+F15*I15+G15*J15</f>
        <v>122926.3</v>
      </c>
      <c r="M15" s="10" t="n">
        <v>3</v>
      </c>
      <c r="N15" s="9" t="n">
        <f aca="false">K15*M15</f>
        <v>16110</v>
      </c>
      <c r="O15" s="9" t="n">
        <f aca="false">N15*D15</f>
        <v>156267</v>
      </c>
      <c r="P15" s="6" t="n">
        <v>1.07</v>
      </c>
      <c r="Q15" s="9" t="n">
        <f aca="false">N15*P15</f>
        <v>17237.7</v>
      </c>
      <c r="R15" s="5" t="n">
        <v>0.29</v>
      </c>
      <c r="S15" s="9" t="n">
        <f aca="false">N15*R15*C15</f>
        <v>60968.295</v>
      </c>
      <c r="T15" s="9" t="n">
        <f aca="false">L15+O15-Q15-S15</f>
        <v>200987.305</v>
      </c>
      <c r="U15" s="9" t="n">
        <f aca="false">S15/(D15-P15)</f>
        <v>7064.69235225956</v>
      </c>
    </row>
    <row r="16" customFormat="false" ht="15" hidden="false" customHeight="false" outlineLevel="0" collapsed="false">
      <c r="A16" s="11" t="s">
        <v>34</v>
      </c>
      <c r="B16" s="12" t="n">
        <v>0.47</v>
      </c>
      <c r="C16" s="13" t="n">
        <v>13.15</v>
      </c>
      <c r="D16" s="13" t="n">
        <v>9.8</v>
      </c>
      <c r="E16" s="13" t="n">
        <v>16.99</v>
      </c>
      <c r="F16" s="13" t="n">
        <v>26.99</v>
      </c>
      <c r="G16" s="13" t="n">
        <v>37.99</v>
      </c>
      <c r="H16" s="14" t="n">
        <v>3120</v>
      </c>
      <c r="I16" s="14" t="n">
        <v>1850</v>
      </c>
      <c r="J16" s="14" t="n">
        <v>720</v>
      </c>
      <c r="K16" s="15" t="n">
        <f aca="false">H16+I16+J16</f>
        <v>5690</v>
      </c>
      <c r="L16" s="16" t="n">
        <f aca="false">E16*H16+F16*I16+G16*J16</f>
        <v>130293.1</v>
      </c>
      <c r="M16" s="17" t="n">
        <v>3.1</v>
      </c>
      <c r="N16" s="16" t="n">
        <f aca="false">K16*M16</f>
        <v>17639</v>
      </c>
      <c r="O16" s="16" t="n">
        <f aca="false">N16*D16</f>
        <v>172862.2</v>
      </c>
      <c r="P16" s="13" t="n">
        <v>1.1</v>
      </c>
      <c r="Q16" s="16" t="n">
        <f aca="false">N16*P16</f>
        <v>19402.9</v>
      </c>
      <c r="R16" s="12" t="n">
        <v>0.28</v>
      </c>
      <c r="S16" s="16" t="n">
        <f aca="false">N16*R16*C16</f>
        <v>64946.798</v>
      </c>
      <c r="T16" s="16" t="n">
        <f aca="false">L16+O16-Q16-S16</f>
        <v>218805.602</v>
      </c>
      <c r="U16" s="16" t="n">
        <f aca="false">S16/(D16-P16)</f>
        <v>7465.1491954023</v>
      </c>
    </row>
    <row r="17" customFormat="false" ht="18" hidden="false" customHeight="true" outlineLevel="0" collapsed="false">
      <c r="A17" s="18" t="s">
        <v>35</v>
      </c>
      <c r="B17" s="19"/>
      <c r="C17" s="20"/>
      <c r="D17" s="20"/>
      <c r="E17" s="20"/>
      <c r="F17" s="20"/>
      <c r="G17" s="20"/>
      <c r="H17" s="21"/>
      <c r="I17" s="21"/>
      <c r="J17" s="21"/>
      <c r="K17" s="22" t="n">
        <f aca="false">K16</f>
        <v>5690</v>
      </c>
      <c r="L17" s="23" t="n">
        <f aca="false">SUM(L5:L16)</f>
        <v>844498.7</v>
      </c>
      <c r="M17" s="24"/>
      <c r="N17" s="23" t="n">
        <f aca="false">SUM(N5:N16)</f>
        <v>107564.5</v>
      </c>
      <c r="O17" s="23" t="n">
        <f aca="false">SUM(O5:O16)</f>
        <v>1009678.125</v>
      </c>
      <c r="P17" s="20"/>
      <c r="Q17" s="23" t="n">
        <f aca="false">SUM(Q5:Q16)</f>
        <v>111598.31</v>
      </c>
      <c r="R17" s="19"/>
      <c r="S17" s="23" t="n">
        <f aca="false">SUM(S5:S16)</f>
        <v>443922.3975</v>
      </c>
      <c r="T17" s="23" t="n">
        <f aca="false">SUM(T5:T16)</f>
        <v>1298656.1175</v>
      </c>
      <c r="U17" s="25"/>
    </row>
    <row r="18" customFormat="false" ht="15" hidden="false" customHeight="false" outlineLevel="0" collapsed="false">
      <c r="A18" s="11" t="s">
        <v>36</v>
      </c>
      <c r="B18" s="26" t="n">
        <f aca="false">AVERAGE(B5:B16)</f>
        <v>0.570833333333333</v>
      </c>
      <c r="C18" s="27" t="n">
        <f aca="false">AVERAGE(C5:C16)</f>
        <v>12.7875</v>
      </c>
      <c r="D18" s="27" t="n">
        <f aca="false">AVERAGE(D5:D16)</f>
        <v>9.13333333333333</v>
      </c>
      <c r="E18" s="27" t="n">
        <f aca="false">AVERAGE(E5:E16)</f>
        <v>15.99</v>
      </c>
      <c r="F18" s="27" t="n">
        <f aca="false">AVERAGE(F5:F16)</f>
        <v>25.99</v>
      </c>
      <c r="G18" s="27" t="n">
        <f aca="false">AVERAGE(G5:G16)</f>
        <v>36.49</v>
      </c>
      <c r="H18" s="15" t="n">
        <f aca="false">AVERAGE(H5:H16)</f>
        <v>1795.83333333333</v>
      </c>
      <c r="I18" s="15" t="n">
        <f aca="false">AVERAGE(I5:I16)</f>
        <v>985.833333333333</v>
      </c>
      <c r="J18" s="15" t="n">
        <f aca="false">AVERAGE(J5:J16)</f>
        <v>395.833333333333</v>
      </c>
      <c r="K18" s="28"/>
      <c r="L18" s="16" t="n">
        <f aca="false">AVERAGE(L5:L16)</f>
        <v>70374.8916666667</v>
      </c>
      <c r="M18" s="29" t="n">
        <f aca="false">AVERAGE(M5:M16)</f>
        <v>2.69166666666667</v>
      </c>
      <c r="N18" s="16" t="n">
        <f aca="false">AVERAGE(N5:N16)</f>
        <v>8963.70833333333</v>
      </c>
      <c r="O18" s="16" t="n">
        <f aca="false">AVERAGE(O5:O16)</f>
        <v>84139.84375</v>
      </c>
      <c r="P18" s="27" t="n">
        <f aca="false">AVERAGE(P5:P16)</f>
        <v>1.01166666666667</v>
      </c>
      <c r="Q18" s="16" t="n">
        <f aca="false">AVERAGE(Q5:Q16)</f>
        <v>9299.85916666667</v>
      </c>
      <c r="R18" s="26" t="n">
        <f aca="false">AVERAGE(R5:R16)</f>
        <v>0.346666666666667</v>
      </c>
      <c r="S18" s="16" t="n">
        <f aca="false">AVERAGE(S5:S16)</f>
        <v>36993.533125</v>
      </c>
      <c r="T18" s="16" t="n">
        <f aca="false">AVERAGE(T5:T16)</f>
        <v>108221.343125</v>
      </c>
      <c r="U18" s="16" t="n">
        <f aca="false">AVERAGE(U5:U16)</f>
        <v>4453.60342778027</v>
      </c>
    </row>
    <row r="21" customFormat="false" ht="15" hidden="false" customHeight="false" outlineLevel="0" collapsed="false">
      <c r="A21" s="30" t="s">
        <v>37</v>
      </c>
      <c r="B21" s="30"/>
      <c r="C21" s="30"/>
      <c r="D21" s="30"/>
      <c r="E21" s="30"/>
      <c r="F21" s="30"/>
    </row>
    <row r="22" customFormat="false" ht="15" hidden="false" customHeight="false" outlineLevel="0" collapsed="false">
      <c r="A22" s="31" t="s">
        <v>38</v>
      </c>
      <c r="B22" s="31"/>
      <c r="C22" s="31"/>
      <c r="D22" s="31"/>
      <c r="E22" s="32" t="n">
        <f aca="false">L16</f>
        <v>130293.1</v>
      </c>
    </row>
    <row r="23" customFormat="false" ht="15" hidden="false" customHeight="false" outlineLevel="0" collapsed="false">
      <c r="A23" s="31" t="s">
        <v>39</v>
      </c>
      <c r="B23" s="31"/>
      <c r="C23" s="31"/>
      <c r="D23" s="31"/>
      <c r="E23" s="32" t="n">
        <f aca="false">L16*12</f>
        <v>1563517.2</v>
      </c>
    </row>
    <row r="24" customFormat="false" ht="15" hidden="false" customHeight="false" outlineLevel="0" collapsed="false">
      <c r="A24" s="31" t="s">
        <v>40</v>
      </c>
      <c r="B24" s="31"/>
      <c r="C24" s="31"/>
      <c r="D24" s="31"/>
      <c r="E24" s="32" t="n">
        <f aca="false">SUM(L5:L16)</f>
        <v>844498.7</v>
      </c>
    </row>
    <row r="25" customFormat="false" ht="15" hidden="false" customHeight="false" outlineLevel="0" collapsed="false">
      <c r="A25" s="31" t="s">
        <v>41</v>
      </c>
      <c r="B25" s="31"/>
      <c r="C25" s="31"/>
      <c r="D25" s="31"/>
      <c r="E25" s="32" t="n">
        <f aca="false">SUM(O5:O16)</f>
        <v>1009678.125</v>
      </c>
    </row>
    <row r="26" customFormat="false" ht="15" hidden="false" customHeight="false" outlineLevel="0" collapsed="false">
      <c r="A26" s="31" t="s">
        <v>42</v>
      </c>
      <c r="B26" s="31"/>
      <c r="C26" s="31"/>
      <c r="D26" s="31"/>
      <c r="E26" s="32" t="n">
        <f aca="false">SUM(T5:T16)</f>
        <v>1298656.1175</v>
      </c>
    </row>
    <row r="27" customFormat="false" ht="15" hidden="false" customHeight="false" outlineLevel="0" collapsed="false">
      <c r="A27" s="31" t="s">
        <v>43</v>
      </c>
      <c r="B27" s="31"/>
      <c r="C27" s="31"/>
      <c r="D27" s="31"/>
      <c r="E27" s="33" t="n">
        <f aca="false">SUM(T5:T16)/(SUM(L5:L16)+SUM(O5:O16))</f>
        <v>0.70039496772375</v>
      </c>
    </row>
    <row r="28" customFormat="false" ht="15" hidden="false" customHeight="false" outlineLevel="0" collapsed="false">
      <c r="A28" s="31" t="s">
        <v>44</v>
      </c>
      <c r="B28" s="31"/>
      <c r="C28" s="31"/>
      <c r="D28" s="31"/>
      <c r="E28" s="32" t="n">
        <f aca="false">SUM(S5:S16)</f>
        <v>443922.3975</v>
      </c>
    </row>
    <row r="29" customFormat="false" ht="15" hidden="false" customHeight="false" outlineLevel="0" collapsed="false">
      <c r="A29" s="31" t="s">
        <v>45</v>
      </c>
      <c r="B29" s="31"/>
      <c r="C29" s="31"/>
      <c r="D29" s="31"/>
      <c r="E29" s="34" t="n">
        <f aca="false">K16</f>
        <v>5690</v>
      </c>
    </row>
    <row r="30" customFormat="false" ht="15" hidden="false" customHeight="false" outlineLevel="0" collapsed="false">
      <c r="A30" s="31" t="s">
        <v>46</v>
      </c>
      <c r="B30" s="31"/>
      <c r="C30" s="31"/>
      <c r="D30" s="31"/>
      <c r="E30" s="35" t="n">
        <f aca="false">(L16+O16)/K16</f>
        <v>53.278611599297</v>
      </c>
    </row>
    <row r="31" customFormat="false" ht="15" hidden="false" customHeight="false" outlineLevel="0" collapsed="false">
      <c r="A31" s="31" t="s">
        <v>47</v>
      </c>
      <c r="B31" s="31"/>
      <c r="C31" s="31"/>
      <c r="D31" s="31"/>
      <c r="E31" s="36" t="n">
        <f aca="false">N16/U16</f>
        <v>2.36284627919609</v>
      </c>
    </row>
  </sheetData>
  <mergeCells count="13">
    <mergeCell ref="A1:U1"/>
    <mergeCell ref="A2:U2"/>
    <mergeCell ref="A21:F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2026-06-24T16:18:08Z</dcterms:created>
  <dc:creator>openpyxl</dc:creator>
  <dc:description/>
  <dc:language>en-US</dc:language>
  <cp:lastModifiedBy/>
  <dcterms:modified xsi:type="dcterms:W3CDTF">2026-06-24T16:18:15Z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